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5802493-2665-414C-AABD-A0955D07CBAF}" xr6:coauthVersionLast="47" xr6:coauthVersionMax="47" xr10:uidLastSave="{00000000-0000-0000-0000-000000000000}"/>
  <workbookProtection lockStructure="1"/>
  <bookViews>
    <workbookView xWindow="-110" yWindow="-110" windowWidth="19420" windowHeight="10300" xr2:uid="{C526E491-0A4A-420A-8073-4E4C56813E94}"/>
  </bookViews>
  <sheets>
    <sheet name="cleaning data used" sheetId="1" r:id="rId1"/>
  </sheets>
  <definedNames>
    <definedName name="hi">'cleaning data used'!$B$2</definedName>
  </definedNames>
  <calcPr calcId="0"/>
</workbook>
</file>

<file path=xl/calcChain.xml><?xml version="1.0" encoding="utf-8"?>
<calcChain xmlns="http://schemas.openxmlformats.org/spreadsheetml/2006/main">
  <c r="B8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<sst xmlns="http://schemas.openxmlformats.org/spreadsheetml/2006/main" count="71" uniqueCount="50">
  <si>
    <t xml:space="preserve">JUAREZ, JOSE </t>
  </si>
  <si>
    <t>ADMIN</t>
  </si>
  <si>
    <t>INTERN</t>
  </si>
  <si>
    <t xml:space="preserve">ABRAHAM, JOHNNY </t>
  </si>
  <si>
    <t>ENGINEERING</t>
  </si>
  <si>
    <t>TRAINEE</t>
  </si>
  <si>
    <t>BAKER, SARAH</t>
  </si>
  <si>
    <t>SALES</t>
  </si>
  <si>
    <t>SALES EXECUTIVE</t>
  </si>
  <si>
    <t>BALOTELLI, BILLY</t>
  </si>
  <si>
    <t xml:space="preserve">BISHOP, TIANA </t>
  </si>
  <si>
    <t>MANAGER</t>
  </si>
  <si>
    <t>BOATENG, TERRYY</t>
  </si>
  <si>
    <t>ACCOUNTS</t>
  </si>
  <si>
    <t>COST ACCOUNTANT</t>
  </si>
  <si>
    <t xml:space="preserve">BOER, FRED </t>
  </si>
  <si>
    <t>MKTG</t>
  </si>
  <si>
    <t>DESIGNER</t>
  </si>
  <si>
    <t>BARKER, BETTY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</si>
  <si>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</si>
  <si>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</si>
  <si>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</si>
  <si>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</si>
  <si>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</si>
  <si>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</si>
  <si>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</si>
  <si>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</si>
  <si>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</si>
  <si>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COOKSON, CHARLES</t>
  </si>
  <si>
    <t xml:space="preserve"> 04/03/2012</t>
  </si>
  <si>
    <t>R &amp; D</t>
  </si>
  <si>
    <t>VP</t>
  </si>
  <si>
    <t xml:space="preserve">CROSSLEY, ERIN </t>
  </si>
  <si>
    <t>TEAM LEADER</t>
  </si>
  <si>
    <t xml:space="preserve">DOE, JANE 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</si>
  <si>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</si>
  <si>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</si>
  <si>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</si>
  <si>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</si>
  <si>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</si>
  <si>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</si>
  <si>
    <t>Employee Name</t>
  </si>
  <si>
    <t>Date</t>
  </si>
  <si>
    <t>Earnings</t>
  </si>
  <si>
    <t>Department</t>
  </si>
  <si>
    <t>Position</t>
  </si>
  <si>
    <t>Column3</t>
  </si>
  <si>
    <t>Column4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</si>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</sst>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16" fillId="0" borderId="0" xfId="0" applyFont="1"/>
    <xf numFmtId="44" fontId="16" fillId="0" borderId="0" xfId="0" applyNumberFormat="1" applyFont="1"/>
    <xf numFmtId="49" fontId="16" fillId="0" borderId="0" xfId="0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10BAF-CAC2-497F-824B-94D2C6C858C8}" name="Table1" displayName="Table1" ref="A1:I21" totalsRowShown="0" headerRowDxfId="0">
  <autoFilter ref="A1:I21" xr:uid="{DE810BAF-CAC2-497F-824B-94D2C6C858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3DADAD3-FD3D-43DA-8B10-8E834F9C6CBC}" name="Column1"/>
    <tableColumn id="2" xr3:uid="{6898F4C0-A140-4D2C-A3E4-EE5F5D3D65D3}" name="Employee Name"/>
    <tableColumn id="3" xr3:uid="{795ED649-3A85-451F-870C-50444AF919AC}" name="Column3"/>
    <tableColumn id="4" xr3:uid="{A7C4A36A-6D73-416E-BDFD-6D880CF5ECFE}" name="Date" dataDxfId="2"/>
    <tableColumn id="5" xr3:uid="{E5AB5F92-AEAC-4CEE-9B85-FE2DA3910DF7}" name="Earnings" dataDxfId="1" dataCellStyle="Currency"/>
    <tableColumn id="6" xr3:uid="{D0E89FE2-BA3E-4346-9E54-50D5639415CE}" name="Column4"/>
    <tableColumn id="7" xr3:uid="{61F7FE9B-BE80-4072-862A-732FFD9B572E}" name="Department"/>
    <tableColumn id="8" xr3:uid="{D765B404-CC39-4B0C-8B95-DA21A5E46B9D}" name="Column2"/>
    <tableColumn id="9" xr3:uid="{8AA9E777-B820-4669-AFE4-FD0E5FAC7DE7}" name="Position">
      <calculatedColumnFormula>PROPER(H2)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2AC7-2882-4AB6-BDBE-1CAE29F87A02}">
  <dimension ref="A1:I21"/>
  <sheetViews>
    <sheetView tabSelected="1" topLeftCell="B1" zoomScaleNormal="100" workbookViewId="0">
      <selection activeCell="J1" sqref="J1"/>
    </sheetView>
  </sheetViews>
  <sheetFormatPr defaultRowHeight="14.5" x14ac:dyDescent="0.35"/>
  <cols>
    <col min="1" max="1" width="14.7265625" hidden="1" customWidth="1"/>
    <col min="2" max="2" width="17.36328125" customWidth="1"/>
    <col min="3" max="3" width="0" hidden="1" customWidth="1"/>
    <col min="4" max="4" width="13.08984375" customWidth="1"/>
    <col min="5" max="5" width="14.54296875" style="2" customWidth="1"/>
    <col min="6" max="6" width="0" hidden="1" customWidth="1"/>
    <col min="7" max="7" width="14.54296875" customWidth="1"/>
    <col min="8" max="8" width="21.7265625" hidden="1" customWidth="1"/>
    <col min="9" max="9" width="21.7265625" customWidth="1"/>
  </cols>
  <sheetData>
    <row r="1" spans="1:9" s="3" customFormat="1" x14ac:dyDescent="0.35">
      <c r="A1" s="3" t="s">
        <v>48</v>
      </c>
      <c r="B1" s="5" t="s">
        <v>41</v>
      </c>
      <c r="C1" s="3" t="s">
        <v>46</v>
      </c>
      <c r="D1" s="3" t="s">
        <v>42</v>
      </c>
      <c r="E1" s="4" t="s">
        <v>43</v>
      </c>
      <c r="F1" s="3" t="s">
        <v>47</v>
      </c>
      <c r="G1" s="3" t="s">
        <v>44</v>
      </c>
      <c r="H1" s="3" t="s">
        <v>49</v>
      </c>
      <c r="I1" s="3" t="s">
        <v>45</v>
      </c>
    </row>
    <row r="2" spans="1:9" x14ac:dyDescent="0.35">
      <c r="A2" t="s">
        <v>0</v>
      </c>
      <c r="B2" t="str">
        <f>PROPER(A2)</f>
        <v xml:space="preserve">Juarez, Jose </v>
      </c>
      <c r="C2">
        <v>41297</v>
      </c>
      <c r="D2" s="1">
        <f>VALUE(C2)</f>
        <v>41297</v>
      </c>
      <c r="E2" s="2">
        <v>39000</v>
      </c>
      <c r="F2" t="s">
        <v>1</v>
      </c>
      <c r="G2" t="str">
        <f>SUBSTITUTE(PROPER(F2),"Mktg","Marketing")</f>
        <v>Admin</v>
      </c>
      <c r="H2" t="s">
        <v>2</v>
      </c>
      <c r="I2" t="str">
        <f>PROPER(H2)</f>
        <v>Intern</v>
      </c>
    </row>
    <row r="3" spans="1:9" x14ac:dyDescent="0.35">
      <c r="A3" t="s">
        <v>3</v>
      </c>
      <c r="B3" t="str">
        <f t="shared" ref="B3:B20" si="0">PROPER(A3)</f>
        <v xml:space="preserve">Abraham, Johnny </v>
      </c>
      <c r="C3" s="1">
        <v>41363</v>
      </c>
      <c r="D3" s="1">
        <f>VALUE(C3)</f>
        <v>41363</v>
      </c>
      <c r="E3" s="2">
        <v>27000</v>
      </c>
      <c r="F3" t="s">
        <v>4</v>
      </c>
      <c r="G3" t="str">
        <f t="shared" ref="G3:G20" si="1">SUBSTITUTE(PROPER(F3),"Mktg","Marketing")</f>
        <v>Engineering</v>
      </c>
      <c r="H3" t="s">
        <v>5</v>
      </c>
      <c r="I3" t="str">
        <f t="shared" ref="I3:I21" si="2">PROPER(H3)</f>
        <v>Trainee</v>
      </c>
    </row>
    <row r="4" spans="1:9" x14ac:dyDescent="0.35">
      <c r="A4" t="s">
        <v>6</v>
      </c>
      <c r="B4" t="str">
        <f t="shared" si="0"/>
        <v>Baker, Sarah</v>
      </c>
      <c r="C4" s="1">
        <v>42124</v>
      </c>
      <c r="D4" s="1">
        <f>VALUE(C4)</f>
        <v>42124</v>
      </c>
      <c r="E4" s="2">
        <v>36000</v>
      </c>
      <c r="F4" t="s">
        <v>7</v>
      </c>
      <c r="G4" t="str">
        <f t="shared" si="1"/>
        <v>Sales</v>
      </c>
      <c r="H4" t="s">
        <v>8</v>
      </c>
      <c r="I4" t="str">
        <f t="shared" si="2"/>
        <v>Sales Executive</v>
      </c>
    </row>
    <row r="5" spans="1:9" x14ac:dyDescent="0.35">
      <c r="A5" t="s">
        <v>9</v>
      </c>
      <c r="B5" t="str">
        <f t="shared" si="0"/>
        <v>Balotelli, Billy</v>
      </c>
      <c r="C5" s="1">
        <v>39401</v>
      </c>
      <c r="D5" s="1">
        <f>VALUE(C5)</f>
        <v>39401</v>
      </c>
      <c r="E5" s="2">
        <v>23900</v>
      </c>
      <c r="F5" t="s">
        <v>4</v>
      </c>
      <c r="G5" t="str">
        <f t="shared" si="1"/>
        <v>Engineering</v>
      </c>
      <c r="H5" t="s">
        <v>2</v>
      </c>
      <c r="I5" t="str">
        <f t="shared" si="2"/>
        <v>Intern</v>
      </c>
    </row>
    <row r="6" spans="1:9" x14ac:dyDescent="0.35">
      <c r="A6" t="s">
        <v>10</v>
      </c>
      <c r="B6" t="str">
        <f t="shared" si="0"/>
        <v xml:space="preserve">Bishop, Tiana </v>
      </c>
      <c r="C6">
        <v>37959</v>
      </c>
      <c r="D6" s="1">
        <f>VALUE(C6)</f>
        <v>37959</v>
      </c>
      <c r="E6" s="2">
        <v>46500</v>
      </c>
      <c r="F6" t="s">
        <v>4</v>
      </c>
      <c r="G6" t="str">
        <f t="shared" si="1"/>
        <v>Engineering</v>
      </c>
      <c r="H6" t="s">
        <v>11</v>
      </c>
      <c r="I6" t="str">
        <f t="shared" si="2"/>
        <v>Manager</v>
      </c>
    </row>
    <row r="7" spans="1:9" x14ac:dyDescent="0.35">
      <c r="A7" t="s">
        <v>12</v>
      </c>
      <c r="B7" t="str">
        <f t="shared" si="0"/>
        <v>Boateng, Terryy</v>
      </c>
      <c r="C7" s="1">
        <v>40021</v>
      </c>
      <c r="D7" s="1">
        <f>VALUE(C7)</f>
        <v>40021</v>
      </c>
      <c r="E7" s="2">
        <v>50000</v>
      </c>
      <c r="F7" t="s">
        <v>13</v>
      </c>
      <c r="G7" t="str">
        <f t="shared" si="1"/>
        <v>Accounts</v>
      </c>
      <c r="H7" t="s">
        <v>14</v>
      </c>
      <c r="I7" t="str">
        <f t="shared" si="2"/>
        <v>Cost Accountant</v>
      </c>
    </row>
    <row r="8" spans="1:9" x14ac:dyDescent="0.35">
      <c r="A8" t="s">
        <v>15</v>
      </c>
      <c r="B8" t="str">
        <f>PROPER(A8)</f>
        <v xml:space="preserve">Boer, Fred </v>
      </c>
      <c r="C8" s="1">
        <v>40535</v>
      </c>
      <c r="D8" s="1">
        <f>VALUE(C8)</f>
        <v>40535</v>
      </c>
      <c r="E8" s="2">
        <v>46000</v>
      </c>
      <c r="F8" t="s">
        <v>16</v>
      </c>
      <c r="G8" t="str">
        <f t="shared" si="1"/>
        <v>Marketing</v>
      </c>
      <c r="H8" t="s">
        <v>17</v>
      </c>
      <c r="I8" t="str">
        <f t="shared" si="2"/>
        <v>Designer</v>
      </c>
    </row>
    <row r="9" spans="1:9" x14ac:dyDescent="0.35">
      <c r="A9" t="s">
        <v>18</v>
      </c>
      <c r="B9" t="str">
        <f t="shared" si="0"/>
        <v>Barker, Betty</v>
      </c>
      <c r="C9" s="1">
        <v>39288</v>
      </c>
      <c r="D9" s="1">
        <f>VALUE(C9)</f>
        <v>39288</v>
      </c>
      <c r="E9" s="2">
        <v>43500</v>
      </c>
      <c r="F9" t="s">
        <v>7</v>
      </c>
      <c r="G9" t="str">
        <f t="shared" si="1"/>
        <v>Sales</v>
      </c>
      <c r="H9" t="s">
        <v>8</v>
      </c>
      <c r="I9" t="str">
        <f t="shared" si="2"/>
        <v>Sales Executive</v>
      </c>
    </row>
    <row r="10" spans="1:9" x14ac:dyDescent="0.35">
      <c r="A10" t="s">
        <v>19</v>
      </c>
      <c r="B10" t="str">
        <f t="shared" si="0"/>
        <v xml:space="preserve">Bursteyn , Tom </v>
      </c>
      <c r="C10">
        <v>36834</v>
      </c>
      <c r="D10" s="1">
        <f>VALUE(C10)</f>
        <v>36834</v>
      </c>
      <c r="E10" s="2">
        <v>21000</v>
      </c>
      <c r="F10" t="s">
        <v>7</v>
      </c>
      <c r="G10" t="str">
        <f t="shared" si="1"/>
        <v>Sales</v>
      </c>
      <c r="H10" t="s">
        <v>20</v>
      </c>
      <c r="I10" t="str">
        <f t="shared" si="2"/>
        <v>Sales Trainee</v>
      </c>
    </row>
    <row r="11" spans="1:9" x14ac:dyDescent="0.35">
      <c r="A11" t="s">
        <v>21</v>
      </c>
      <c r="B11" t="str">
        <f t="shared" si="0"/>
        <v xml:space="preserve">Bursteyn, Tammy </v>
      </c>
      <c r="C11">
        <v>38238</v>
      </c>
      <c r="D11" s="1">
        <f>VALUE(C11)</f>
        <v>38238</v>
      </c>
      <c r="E11" s="2">
        <v>38000</v>
      </c>
      <c r="F11" t="s">
        <v>7</v>
      </c>
      <c r="G11" t="str">
        <f t="shared" si="1"/>
        <v>Sales</v>
      </c>
      <c r="H11" t="s">
        <v>8</v>
      </c>
      <c r="I11" t="str">
        <f t="shared" si="2"/>
        <v>Sales Executive</v>
      </c>
    </row>
    <row r="12" spans="1:9" x14ac:dyDescent="0.35">
      <c r="A12" t="s">
        <v>22</v>
      </c>
      <c r="B12" t="str">
        <f t="shared" si="0"/>
        <v>Busser, Bobby</v>
      </c>
      <c r="C12">
        <v>37417</v>
      </c>
      <c r="D12" s="1">
        <f>VALUE(C12)</f>
        <v>37417</v>
      </c>
      <c r="E12" s="2">
        <v>29950</v>
      </c>
      <c r="F12" t="s">
        <v>13</v>
      </c>
      <c r="G12" t="str">
        <f t="shared" si="1"/>
        <v>Accounts</v>
      </c>
      <c r="H12" t="s">
        <v>23</v>
      </c>
      <c r="I12" t="str">
        <f t="shared" si="2"/>
        <v>Senior Administrator</v>
      </c>
    </row>
    <row r="13" spans="1:9" x14ac:dyDescent="0.35">
      <c r="A13" t="s">
        <v>24</v>
      </c>
      <c r="B13" t="str">
        <f t="shared" si="0"/>
        <v>Casciewicz, Kathy</v>
      </c>
      <c r="C13" t="s">
        <v>25</v>
      </c>
      <c r="D13" s="1">
        <f>VALUE(C13)</f>
        <v>40892</v>
      </c>
      <c r="E13" s="2">
        <v>41000</v>
      </c>
      <c r="F13" t="s">
        <v>7</v>
      </c>
      <c r="G13" t="str">
        <f t="shared" si="1"/>
        <v>Sales</v>
      </c>
      <c r="H13" t="s">
        <v>26</v>
      </c>
      <c r="I13" t="str">
        <f t="shared" si="2"/>
        <v>Senior Technician</v>
      </c>
    </row>
    <row r="14" spans="1:9" x14ac:dyDescent="0.35">
      <c r="A14" t="s">
        <v>27</v>
      </c>
      <c r="B14" t="str">
        <f t="shared" si="0"/>
        <v xml:space="preserve">Cole, Ashley </v>
      </c>
      <c r="C14">
        <v>40483</v>
      </c>
      <c r="D14" s="1">
        <f>VALUE(C14)</f>
        <v>40483</v>
      </c>
      <c r="E14" s="2">
        <v>54000</v>
      </c>
      <c r="F14" t="s">
        <v>7</v>
      </c>
      <c r="G14" t="str">
        <f t="shared" si="1"/>
        <v>Sales</v>
      </c>
      <c r="H14" t="s">
        <v>14</v>
      </c>
      <c r="I14" t="str">
        <f t="shared" si="2"/>
        <v>Cost Accountant</v>
      </c>
    </row>
    <row r="15" spans="1:9" x14ac:dyDescent="0.35">
      <c r="A15" t="s">
        <v>28</v>
      </c>
      <c r="B15" t="str">
        <f t="shared" si="0"/>
        <v>Cookson, Charles</v>
      </c>
      <c r="C15" t="s">
        <v>29</v>
      </c>
      <c r="D15" s="1">
        <f>VALUE(C15)</f>
        <v>41002</v>
      </c>
      <c r="E15" s="2">
        <v>63200</v>
      </c>
      <c r="F15" t="s">
        <v>30</v>
      </c>
      <c r="G15" t="str">
        <f t="shared" si="1"/>
        <v>R &amp; D</v>
      </c>
      <c r="H15" t="s">
        <v>31</v>
      </c>
      <c r="I15" t="str">
        <f t="shared" si="2"/>
        <v>Vp</v>
      </c>
    </row>
    <row r="16" spans="1:9" x14ac:dyDescent="0.35">
      <c r="A16" t="s">
        <v>32</v>
      </c>
      <c r="B16" t="str">
        <f t="shared" si="0"/>
        <v xml:space="preserve">Crossley, Erin </v>
      </c>
      <c r="C16" s="1">
        <v>39926</v>
      </c>
      <c r="D16" s="1">
        <f>VALUE(C16)</f>
        <v>39926</v>
      </c>
      <c r="E16" s="2">
        <v>46000</v>
      </c>
      <c r="F16" t="s">
        <v>1</v>
      </c>
      <c r="G16" t="str">
        <f t="shared" si="1"/>
        <v>Admin</v>
      </c>
      <c r="H16" t="s">
        <v>33</v>
      </c>
      <c r="I16" t="str">
        <f t="shared" si="2"/>
        <v>Team Leader</v>
      </c>
    </row>
    <row r="17" spans="1:9" x14ac:dyDescent="0.35">
      <c r="A17" t="s">
        <v>34</v>
      </c>
      <c r="B17" t="str">
        <f t="shared" si="0"/>
        <v xml:space="preserve">Doe, Jane </v>
      </c>
      <c r="C17" s="1">
        <v>42210</v>
      </c>
      <c r="D17" s="1">
        <f>VALUE(C17)</f>
        <v>42210</v>
      </c>
      <c r="E17" s="2">
        <v>21500</v>
      </c>
      <c r="F17" t="s">
        <v>30</v>
      </c>
      <c r="G17" t="str">
        <f t="shared" si="1"/>
        <v>R &amp; D</v>
      </c>
      <c r="H17" t="s">
        <v>5</v>
      </c>
      <c r="I17" t="str">
        <f t="shared" si="2"/>
        <v>Trainee</v>
      </c>
    </row>
    <row r="18" spans="1:9" x14ac:dyDescent="0.35">
      <c r="A18" t="s">
        <v>35</v>
      </c>
      <c r="B18" t="str">
        <f t="shared" si="0"/>
        <v xml:space="preserve">Doe, John  </v>
      </c>
      <c r="C18" t="s">
        <v>36</v>
      </c>
      <c r="D18" s="1">
        <f>VALUE(C18)</f>
        <v>41795</v>
      </c>
      <c r="E18" s="2">
        <v>45600</v>
      </c>
      <c r="F18" t="s">
        <v>4</v>
      </c>
      <c r="G18" t="str">
        <f t="shared" si="1"/>
        <v>Engineering</v>
      </c>
      <c r="H18" t="s">
        <v>2</v>
      </c>
      <c r="I18" t="str">
        <f t="shared" si="2"/>
        <v>Intern</v>
      </c>
    </row>
    <row r="19" spans="1:9" x14ac:dyDescent="0.35">
      <c r="A19" t="s">
        <v>37</v>
      </c>
      <c r="B19" t="str">
        <f t="shared" si="0"/>
        <v>Darnstein, Danny</v>
      </c>
      <c r="C19" t="s">
        <v>38</v>
      </c>
      <c r="D19" s="1">
        <f>VALUE(C19)</f>
        <v>40891</v>
      </c>
      <c r="E19" s="2">
        <v>52000</v>
      </c>
      <c r="F19" t="s">
        <v>4</v>
      </c>
      <c r="G19" t="str">
        <f t="shared" si="1"/>
        <v>Engineering</v>
      </c>
      <c r="H19" t="s">
        <v>14</v>
      </c>
      <c r="I19" t="str">
        <f t="shared" si="2"/>
        <v>Cost Accountant</v>
      </c>
    </row>
    <row r="20" spans="1:9" x14ac:dyDescent="0.35">
      <c r="A20" t="s">
        <v>39</v>
      </c>
      <c r="B20" t="str">
        <f t="shared" si="0"/>
        <v xml:space="preserve">Fallengrano, Bill </v>
      </c>
      <c r="C20" t="s">
        <v>40</v>
      </c>
      <c r="D20" s="1">
        <f>VALUE(C20)</f>
        <v>37071</v>
      </c>
      <c r="E20" s="2">
        <v>56750</v>
      </c>
      <c r="F20" t="s">
        <v>4</v>
      </c>
      <c r="G20" t="str">
        <f t="shared" si="1"/>
        <v>Engineering</v>
      </c>
      <c r="H20" t="s">
        <v>23</v>
      </c>
      <c r="I20" t="str">
        <f t="shared" si="2"/>
        <v>Senior Administrator</v>
      </c>
    </row>
    <row r="21" spans="1:9" x14ac:dyDescent="0.35">
      <c r="I21" t="str">
        <f t="shared" si="2"/>
        <v/>
      </c>
    </row>
  </sheetData>
  <protectedRanges>
    <protectedRange sqref="B1" name="Range1"/>
  </protectedRanges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cleaning data used</vt:lpstr>
      <vt:lpstr>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UCHECHUKWU</dc:creator>
  <cp:lastModifiedBy>Ifeanyi UCHECHUKWU</cp:lastModifiedBy>
  <cp:lastPrinted>2026-02-24T05:37:20Z</cp:lastPrinted>
  <dcterms:created xsi:type="dcterms:W3CDTF">2026-02-24T05:38:53Z</dcterms:created>
  <dcterms:modified xsi:type="dcterms:W3CDTF">2026-02-24T05:38:53Z</dcterms:modified>
</cp:coreProperties>
</file>